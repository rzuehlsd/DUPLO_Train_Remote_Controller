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f/Desktop/Projekte von Workbench/20_Duplo Train Controller NG/ControllerHW/DuploTrainController NG/"/>
    </mc:Choice>
  </mc:AlternateContent>
  <xr:revisionPtr revIDLastSave="0" documentId="13_ncr:1_{2E8145A7-D63D-E84F-9C49-DD355DA80156}" xr6:coauthVersionLast="47" xr6:coauthVersionMax="47" xr10:uidLastSave="{00000000-0000-0000-0000-000000000000}"/>
  <bookViews>
    <workbookView xWindow="0" yWindow="500" windowWidth="28800" windowHeight="16260" xr2:uid="{3208A821-9F98-A04C-982F-D10FE78BA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9" i="1" s="1"/>
  <c r="M7" i="1"/>
  <c r="M6" i="1"/>
  <c r="M5" i="1"/>
  <c r="M4" i="1"/>
  <c r="M3" i="1"/>
  <c r="N3" i="1" s="1"/>
  <c r="G8" i="1"/>
  <c r="E8" i="1"/>
  <c r="E7" i="1"/>
  <c r="E6" i="1"/>
  <c r="E5" i="1"/>
  <c r="E4" i="1"/>
  <c r="E3" i="1"/>
  <c r="F3" i="1" s="1"/>
  <c r="G7" i="1"/>
  <c r="G4" i="1"/>
  <c r="G5" i="1"/>
  <c r="G6" i="1"/>
  <c r="G3" i="1"/>
  <c r="N4" i="1" l="1"/>
  <c r="F5" i="1"/>
  <c r="N5" i="1"/>
  <c r="N6" i="1"/>
  <c r="N7" i="1"/>
  <c r="N8" i="1"/>
  <c r="F4" i="1"/>
  <c r="F8" i="1"/>
  <c r="F7" i="1"/>
  <c r="F6" i="1"/>
</calcChain>
</file>

<file path=xl/sharedStrings.xml><?xml version="1.0" encoding="utf-8"?>
<sst xmlns="http://schemas.openxmlformats.org/spreadsheetml/2006/main" count="34" uniqueCount="32">
  <si>
    <t>R1</t>
  </si>
  <si>
    <t>R0</t>
  </si>
  <si>
    <t>R2</t>
  </si>
  <si>
    <t>R3</t>
  </si>
  <si>
    <t>R4</t>
  </si>
  <si>
    <t>x1</t>
  </si>
  <si>
    <t>x2</t>
  </si>
  <si>
    <t>x3</t>
  </si>
  <si>
    <t>x4</t>
  </si>
  <si>
    <t>x5</t>
  </si>
  <si>
    <t xml:space="preserve"> k</t>
  </si>
  <si>
    <t>Ucc</t>
  </si>
  <si>
    <t>Imax</t>
  </si>
  <si>
    <t>1mA</t>
  </si>
  <si>
    <t>Rges in k</t>
  </si>
  <si>
    <t>Rn in k</t>
  </si>
  <si>
    <t>Uadc in V</t>
  </si>
  <si>
    <t>R5</t>
  </si>
  <si>
    <t>x6</t>
  </si>
  <si>
    <t>open</t>
  </si>
  <si>
    <t>delta</t>
  </si>
  <si>
    <t>closed</t>
  </si>
  <si>
    <t>Encoder Btn</t>
  </si>
  <si>
    <t>Record</t>
  </si>
  <si>
    <t>Play</t>
  </si>
  <si>
    <t>Stop</t>
  </si>
  <si>
    <t>Water</t>
  </si>
  <si>
    <t>LED Cycle</t>
  </si>
  <si>
    <t>Sound Cycle</t>
  </si>
  <si>
    <t>Funktion</t>
  </si>
  <si>
    <t>alle offen</t>
  </si>
  <si>
    <t>R E12 in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</si>
</sst>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17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7360-B5FE-4F4C-8CDE-BD5A4372B6AA}">
  <dimension ref="A1:N13"/>
  <sheetViews>
    <sheetView tabSelected="1" workbookViewId="0">
      <selection activeCell="L5" sqref="L5"/>
    </sheetView>
  </sheetViews>
  <sheetFormatPr baseColWidth="10" defaultRowHeight="16" x14ac:dyDescent="0.2"/>
  <cols>
    <col min="5" max="5" width="12.6640625" bestFit="1" customWidth="1"/>
    <col min="11" max="11" width="15" customWidth="1"/>
    <col min="13" max="13" width="11.6640625" bestFit="1" customWidth="1"/>
  </cols>
  <sheetData>
    <row r="1" spans="1:14" x14ac:dyDescent="0.2">
      <c r="A1" t="s">
        <v>1</v>
      </c>
      <c r="B1">
        <v>2.2000000000000002</v>
      </c>
      <c r="C1" t="s">
        <v>10</v>
      </c>
      <c r="E1" t="s">
        <v>14</v>
      </c>
      <c r="F1" t="s">
        <v>15</v>
      </c>
      <c r="G1" t="s">
        <v>16</v>
      </c>
      <c r="I1" s="2" t="s">
        <v>29</v>
      </c>
      <c r="K1" t="s">
        <v>31</v>
      </c>
      <c r="M1" t="s">
        <v>16</v>
      </c>
      <c r="N1" t="s">
        <v>20</v>
      </c>
    </row>
    <row r="2" spans="1:14" x14ac:dyDescent="0.2">
      <c r="A2" t="s">
        <v>21</v>
      </c>
      <c r="G2">
        <v>0</v>
      </c>
      <c r="I2" t="s">
        <v>22</v>
      </c>
      <c r="M2">
        <v>0</v>
      </c>
    </row>
    <row r="3" spans="1:14" x14ac:dyDescent="0.2">
      <c r="A3" t="s">
        <v>5</v>
      </c>
      <c r="B3">
        <v>0.15</v>
      </c>
      <c r="D3" t="s">
        <v>0</v>
      </c>
      <c r="E3" s="1">
        <f>B3/(1-B3)*$B$1</f>
        <v>0.38823529411764712</v>
      </c>
      <c r="F3" s="1">
        <f>E3</f>
        <v>0.38823529411764712</v>
      </c>
      <c r="G3">
        <f>B3*3.3</f>
        <v>0.49499999999999994</v>
      </c>
      <c r="I3" t="s">
        <v>23</v>
      </c>
      <c r="K3">
        <v>0.39</v>
      </c>
      <c r="M3" s="3">
        <f>$C$12*K3/($B$1+K3)</f>
        <v>0.49691119691119684</v>
      </c>
      <c r="N3" s="3">
        <f>M3</f>
        <v>0.49691119691119684</v>
      </c>
    </row>
    <row r="4" spans="1:14" x14ac:dyDescent="0.2">
      <c r="A4" t="s">
        <v>6</v>
      </c>
      <c r="B4">
        <v>0.3</v>
      </c>
      <c r="D4" t="s">
        <v>2</v>
      </c>
      <c r="E4" s="1">
        <f>B4/(1-B4)*$B$1</f>
        <v>0.94285714285714295</v>
      </c>
      <c r="F4" s="1">
        <f>E4-F3</f>
        <v>0.55462184873949583</v>
      </c>
      <c r="G4">
        <f t="shared" ref="G4:G7" si="0">B4*3.3</f>
        <v>0.98999999999999988</v>
      </c>
      <c r="I4" t="s">
        <v>24</v>
      </c>
      <c r="K4">
        <v>0.56000000000000005</v>
      </c>
      <c r="M4" s="3">
        <f>$C$12*(K4+K3)/($B$1+K4+K3)</f>
        <v>0.99523809523809514</v>
      </c>
      <c r="N4" s="3">
        <f>M4-M3</f>
        <v>0.4983268983268983</v>
      </c>
    </row>
    <row r="5" spans="1:14" x14ac:dyDescent="0.2">
      <c r="A5" t="s">
        <v>7</v>
      </c>
      <c r="B5">
        <v>0.45</v>
      </c>
      <c r="D5" t="s">
        <v>3</v>
      </c>
      <c r="E5" s="1">
        <f>B5/(1-B5)*$B$1</f>
        <v>1.8</v>
      </c>
      <c r="F5" s="1">
        <f>E5-E4</f>
        <v>0.8571428571428571</v>
      </c>
      <c r="G5">
        <f t="shared" si="0"/>
        <v>1.4849999999999999</v>
      </c>
      <c r="I5" t="s">
        <v>25</v>
      </c>
      <c r="K5">
        <v>0.82</v>
      </c>
      <c r="M5" s="3">
        <f>$C$12*(K5+K4+K3)/($B$1+K5+K4+K3)</f>
        <v>1.4712846347607051</v>
      </c>
      <c r="N5" s="3">
        <f t="shared" ref="N5:N9" si="1">M5-M4</f>
        <v>0.47604653952261</v>
      </c>
    </row>
    <row r="6" spans="1:14" x14ac:dyDescent="0.2">
      <c r="A6" t="s">
        <v>8</v>
      </c>
      <c r="B6">
        <v>0.6</v>
      </c>
      <c r="D6" t="s">
        <v>4</v>
      </c>
      <c r="E6" s="1">
        <f>B6/(1-B6)*$B$1</f>
        <v>3.3</v>
      </c>
      <c r="F6" s="1">
        <f>E6-E5</f>
        <v>1.4999999999999998</v>
      </c>
      <c r="G6">
        <f t="shared" si="0"/>
        <v>1.9799999999999998</v>
      </c>
      <c r="I6" t="s">
        <v>26</v>
      </c>
      <c r="K6">
        <v>1.5</v>
      </c>
      <c r="M6" s="3">
        <f>$C$12*(K6+K5+K4+K3)/($B$1+K6+K5+K4+K3)</f>
        <v>1.9727605118829981</v>
      </c>
      <c r="N6" s="3">
        <f t="shared" si="1"/>
        <v>0.50147587712229291</v>
      </c>
    </row>
    <row r="7" spans="1:14" x14ac:dyDescent="0.2">
      <c r="A7" t="s">
        <v>9</v>
      </c>
      <c r="B7">
        <v>0.75</v>
      </c>
      <c r="D7" t="s">
        <v>17</v>
      </c>
      <c r="E7" s="1">
        <f>B7/(1-B7)*$B$1</f>
        <v>6.6000000000000005</v>
      </c>
      <c r="F7" s="1">
        <f>E7-E6</f>
        <v>3.3000000000000007</v>
      </c>
      <c r="G7">
        <f t="shared" si="0"/>
        <v>2.4749999999999996</v>
      </c>
      <c r="I7" t="s">
        <v>27</v>
      </c>
      <c r="K7">
        <v>3.3</v>
      </c>
      <c r="M7" s="3">
        <f>$C$12*(K7+K6+K5+K4+K3)/($B$1+K7+K6+K5+K4+K3)</f>
        <v>2.4721778791334086</v>
      </c>
      <c r="N7" s="3">
        <f t="shared" si="1"/>
        <v>0.49941736725041053</v>
      </c>
    </row>
    <row r="8" spans="1:14" x14ac:dyDescent="0.2">
      <c r="A8" t="s">
        <v>18</v>
      </c>
      <c r="B8">
        <v>0.9</v>
      </c>
      <c r="D8" t="s">
        <v>17</v>
      </c>
      <c r="E8" s="1">
        <f>B8/(1-B8)*$B$1</f>
        <v>19.800000000000004</v>
      </c>
      <c r="F8" s="1">
        <f>E8-E7</f>
        <v>13.200000000000003</v>
      </c>
      <c r="G8">
        <f t="shared" ref="G8" si="2">B8*3.3</f>
        <v>2.9699999999999998</v>
      </c>
      <c r="I8" t="s">
        <v>28</v>
      </c>
      <c r="K8">
        <v>12</v>
      </c>
      <c r="M8" s="3">
        <f>$C$12*(K8+K7+K6+K5+K4+K3)/($B$1+K8+K7+K6+K5+K4+K3)</f>
        <v>2.9504573904670197</v>
      </c>
      <c r="N8" s="3">
        <f t="shared" si="1"/>
        <v>0.47827951133361113</v>
      </c>
    </row>
    <row r="9" spans="1:14" x14ac:dyDescent="0.2">
      <c r="A9" t="s">
        <v>19</v>
      </c>
      <c r="G9">
        <v>3.3</v>
      </c>
      <c r="I9" t="s">
        <v>30</v>
      </c>
      <c r="M9" s="3">
        <v>3.3</v>
      </c>
      <c r="N9" s="3">
        <f t="shared" si="1"/>
        <v>0.34954260953298011</v>
      </c>
    </row>
    <row r="12" spans="1:14" x14ac:dyDescent="0.2">
      <c r="B12" t="s">
        <v>11</v>
      </c>
      <c r="C12">
        <v>3.3</v>
      </c>
    </row>
    <row r="13" spans="1:14" x14ac:dyDescent="0.2">
      <c r="B13" t="s">
        <v>12</v>
      </c>
      <c r="C13" t="s">
        <v>13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Z</dc:creator>
  <cp:lastModifiedBy>Ralf</cp:lastModifiedBy>
  <dcterms:created xsi:type="dcterms:W3CDTF">2025-08-02T10:38:47Z</dcterms:created>
  <dcterms:modified xsi:type="dcterms:W3CDTF">2025-09-10T19:10:06Z</dcterms:modified>
</cp:coreProperties>
</file>